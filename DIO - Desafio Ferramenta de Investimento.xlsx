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/>
  <xr:revisionPtr revIDLastSave="0" documentId="8_{65B218D4-9412-4DFF-BB1D-0D77191F87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porte">Planilha1!$D$16:$D$16</definedName>
    <definedName name="patrimonio">Planilha1!$D$19:$D$19</definedName>
    <definedName name="periodo_investimento">Planilha1!$D$17:$D$17</definedName>
    <definedName name="rendimento_carteira">Planilha1!$D$11:$D$11</definedName>
    <definedName name="salario">Planilha1!$D$10:$D$10</definedName>
    <definedName name="sugestao_investimento">Planilha1!$D$12:$D$12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 a="1"/>
  <c r="H4" i="1" s="1"/>
  <c r="G5" i="1"/>
  <c r="H5" i="1" s="1" a="1"/>
  <c r="H5" i="1" s="1"/>
  <c r="G6" i="1"/>
  <c r="H6" i="1" s="1" a="1"/>
  <c r="H6" i="1" s="1"/>
  <c r="G7" i="1"/>
  <c r="H7" i="1" s="1" a="1"/>
  <c r="H7" i="1" s="1"/>
  <c r="G8" i="1"/>
  <c r="H8" i="1" s="1" a="1"/>
  <c r="H8" i="1" s="1"/>
  <c r="G3" i="1"/>
  <c r="H3" i="1" s="1" a="1"/>
  <c r="H3" i="1" s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G18" i="1" a="1"/>
  <c r="G18" i="1"/>
  <c r="G19" i="1" a="1"/>
  <c r="G19" i="1"/>
  <c r="G20" i="1" a="1"/>
  <c r="G20" i="1"/>
  <c r="G16" i="1" a="1"/>
  <c r="G16" i="1"/>
  <c r="G17" i="1" a="1"/>
  <c r="G17" i="1"/>
  <c r="D19" i="1" a="1"/>
  <c r="D19" i="1"/>
  <c r="D20" i="1" a="1"/>
  <c r="D20" i="1"/>
  <c r="H20" i="1" a="1"/>
  <c r="H20" i="1"/>
  <c r="H19" i="1" a="1"/>
  <c r="H19" i="1"/>
  <c r="H18" i="1" a="1"/>
  <c r="H18" i="1"/>
  <c r="H17" i="1" a="1"/>
  <c r="H17" i="1"/>
  <c r="H16" i="1" a="1"/>
  <c r="H16" i="1"/>
  <c r="D12" i="1"/>
  <c r="H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<sst xmlns="http://schemas.openxmlformats.org/spreadsheetml/2006/main" count="69" uniqueCount="34">
  <si>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</si>
  <si>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</si>
  <si>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</si>
  <si>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</si>
  <si>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</si>
  <si>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</si>
  <si>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</si>
  <si>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</si>
  <si>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</si>
  <si>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CONFIGURAÇÕES</t>
  </si>
  <si>
    <t>TOTAL</t>
  </si>
  <si>
    <t>Salário</t>
  </si>
  <si>
    <t>Rendimento da Carteira de Investimentos</t>
  </si>
  <si>
    <t>Sugestão de Investimento</t>
  </si>
  <si>
    <t>Perfil de Investidor</t>
  </si>
  <si>
    <t>CONSERVADOR</t>
  </si>
  <si>
    <t>INVESTIMENTO MENSAL</t>
  </si>
  <si>
    <t>CENÁRIOS</t>
  </si>
  <si>
    <t>DIVIDENDOS</t>
  </si>
  <si>
    <t>Quanto investir por mes:</t>
  </si>
  <si>
    <t>2 Anos:</t>
  </si>
  <si>
    <t>Por quantos anos:</t>
  </si>
  <si>
    <t>5 Anos:</t>
  </si>
  <si>
    <t>Taxa de rendimento mensal:</t>
  </si>
  <si>
    <t>10 Anos:</t>
  </si>
  <si>
    <t>Patrimônio acumulado:</t>
  </si>
  <si>
    <t>20 Anos:</t>
  </si>
  <si>
    <t>Dividendos mensais:</t>
  </si>
  <si>
    <t>30 Anos:</t>
  </si>
  <si>
    <t>CHAVE</t>
  </si>
  <si>
    <t>PERFIL</t>
  </si>
  <si>
    <t>%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</si>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</sst>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%"/>
    <numFmt numFmtId="165" formatCode="&quot;R$&quot;\ #,##0.00"/>
  </numFmts>
  <fonts count="10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/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2" tint="-9.9978637043366805E-2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2" tint="-9.9978637043366805E-2"/>
      </right>
      <top/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/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2" tint="-9.9978637043366805E-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 style="thin">
        <color theme="1"/>
      </right>
      <top style="thin">
        <color theme="2" tint="-9.9978637043366805E-2"/>
      </top>
      <bottom/>
      <diagonal/>
    </border>
    <border>
      <left style="thin">
        <color theme="1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medium">
        <color theme="1"/>
      </right>
      <top style="thin">
        <color theme="2" tint="-9.9978637043366805E-2"/>
      </top>
      <bottom/>
      <diagonal/>
    </border>
    <border>
      <left style="medium">
        <color theme="1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1"/>
      </left>
      <right/>
      <top style="thin">
        <color theme="2" tint="-9.9978637043366805E-2"/>
      </top>
      <bottom style="medium">
        <color theme="1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medium">
        <color theme="1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/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5" borderId="0" xfId="0" applyFill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8" fontId="4" fillId="3" borderId="10" xfId="0" applyNumberFormat="1" applyFont="1" applyFill="1" applyBorder="1" applyAlignment="1">
      <alignment horizontal="center"/>
    </xf>
    <xf numFmtId="8" fontId="4" fillId="3" borderId="13" xfId="0" applyNumberFormat="1" applyFont="1" applyFill="1" applyBorder="1" applyAlignment="1">
      <alignment horizontal="center"/>
    </xf>
    <xf numFmtId="0" fontId="2" fillId="3" borderId="9" xfId="0" applyFont="1" applyFill="1" applyBorder="1"/>
    <xf numFmtId="165" fontId="4" fillId="3" borderId="6" xfId="0" applyNumberFormat="1" applyFont="1" applyFill="1" applyBorder="1" applyAlignment="1">
      <alignment horizontal="center" vertical="center"/>
    </xf>
    <xf numFmtId="165" fontId="6" fillId="3" borderId="10" xfId="0" applyNumberFormat="1" applyFont="1" applyFill="1" applyBorder="1" applyAlignment="1">
      <alignment horizontal="center" vertical="center"/>
    </xf>
    <xf numFmtId="0" fontId="2" fillId="3" borderId="11" xfId="0" applyFont="1" applyFill="1" applyBorder="1"/>
    <xf numFmtId="165" fontId="4" fillId="3" borderId="12" xfId="0" applyNumberFormat="1" applyFont="1" applyFill="1" applyBorder="1" applyAlignment="1">
      <alignment horizontal="center" vertical="center"/>
    </xf>
    <xf numFmtId="165" fontId="6" fillId="3" borderId="13" xfId="0" applyNumberFormat="1" applyFont="1" applyFill="1" applyBorder="1" applyAlignment="1">
      <alignment horizontal="center" vertical="center"/>
    </xf>
    <xf numFmtId="0" fontId="0" fillId="5" borderId="0" xfId="0" applyFill="1" applyBorder="1"/>
    <xf numFmtId="0" fontId="7" fillId="5" borderId="0" xfId="0" applyFont="1" applyFill="1"/>
    <xf numFmtId="165" fontId="4" fillId="4" borderId="18" xfId="0" applyNumberFormat="1" applyFont="1" applyFill="1" applyBorder="1" applyAlignment="1">
      <alignment horizontal="center" vertical="center"/>
    </xf>
    <xf numFmtId="1" fontId="4" fillId="4" borderId="10" xfId="0" applyNumberFormat="1" applyFont="1" applyFill="1" applyBorder="1" applyAlignment="1">
      <alignment horizontal="center"/>
    </xf>
    <xf numFmtId="164" fontId="4" fillId="4" borderId="10" xfId="0" applyNumberFormat="1" applyFont="1" applyFill="1" applyBorder="1" applyAlignment="1">
      <alignment horizontal="center"/>
    </xf>
    <xf numFmtId="165" fontId="4" fillId="4" borderId="8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0" fontId="0" fillId="0" borderId="19" xfId="0" applyBorder="1"/>
    <xf numFmtId="0" fontId="0" fillId="0" borderId="19" xfId="0" applyFill="1" applyBorder="1"/>
    <xf numFmtId="0" fontId="0" fillId="0" borderId="19" xfId="0" applyBorder="1" applyAlignment="1">
      <alignment horizontal="center" vertical="center"/>
    </xf>
    <xf numFmtId="9" fontId="0" fillId="0" borderId="0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8" fillId="8" borderId="19" xfId="0" applyFont="1" applyFill="1" applyBorder="1" applyAlignment="1">
      <alignment horizontal="center"/>
    </xf>
    <xf numFmtId="10" fontId="4" fillId="4" borderId="23" xfId="0" applyNumberFormat="1" applyFont="1" applyFill="1" applyBorder="1" applyAlignment="1">
      <alignment horizontal="center" vertical="center"/>
    </xf>
    <xf numFmtId="165" fontId="4" fillId="3" borderId="25" xfId="0" applyNumberFormat="1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9" fontId="2" fillId="4" borderId="27" xfId="0" applyNumberFormat="1" applyFont="1" applyFill="1" applyBorder="1"/>
    <xf numFmtId="9" fontId="2" fillId="4" borderId="1" xfId="0" applyNumberFormat="1" applyFont="1" applyFill="1" applyBorder="1"/>
    <xf numFmtId="9" fontId="2" fillId="4" borderId="2" xfId="0" applyNumberFormat="1" applyFont="1" applyFill="1" applyBorder="1"/>
    <xf numFmtId="0" fontId="3" fillId="3" borderId="24" xfId="0" applyFont="1" applyFill="1" applyBorder="1" applyAlignment="1">
      <alignment horizontal="left"/>
    </xf>
    <xf numFmtId="0" fontId="3" fillId="3" borderId="20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0" fontId="2" fillId="4" borderId="21" xfId="0" applyFont="1" applyFill="1" applyBorder="1" applyAlignment="1">
      <alignment horizontal="left"/>
    </xf>
    <xf numFmtId="0" fontId="2" fillId="4" borderId="22" xfId="0" applyFont="1" applyFill="1" applyBorder="1" applyAlignment="1">
      <alignment horizontal="left"/>
    </xf>
    <xf numFmtId="0" fontId="2" fillId="4" borderId="3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9" fillId="7" borderId="31" xfId="0" applyFont="1" applyFill="1" applyBorder="1" applyAlignment="1">
      <alignment horizontal="center" vertical="center"/>
    </xf>
    <xf numFmtId="0" fontId="9" fillId="7" borderId="32" xfId="0" applyFont="1" applyFill="1" applyBorder="1" applyAlignment="1">
      <alignment horizontal="center"/>
    </xf>
    <xf numFmtId="0" fontId="9" fillId="7" borderId="33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 vertical="center"/>
    </xf>
    <xf numFmtId="165" fontId="2" fillId="4" borderId="35" xfId="0" applyNumberFormat="1" applyFont="1" applyFill="1" applyBorder="1"/>
    <xf numFmtId="0" fontId="2" fillId="4" borderId="36" xfId="0" applyFont="1" applyFill="1" applyBorder="1" applyAlignment="1">
      <alignment horizontal="center" vertical="center"/>
    </xf>
    <xf numFmtId="165" fontId="2" fillId="4" borderId="37" xfId="0" applyNumberFormat="1" applyFont="1" applyFill="1" applyBorder="1"/>
    <xf numFmtId="0" fontId="2" fillId="4" borderId="38" xfId="0" applyFont="1" applyFill="1" applyBorder="1" applyAlignment="1">
      <alignment horizontal="center" vertical="center"/>
    </xf>
    <xf numFmtId="165" fontId="2" fillId="4" borderId="39" xfId="0" applyNumberFormat="1" applyFont="1" applyFill="1" applyBorder="1"/>
    <xf numFmtId="0" fontId="3" fillId="7" borderId="40" xfId="0" applyFont="1" applyFill="1" applyBorder="1" applyAlignment="1">
      <alignment horizontal="center" vertical="center"/>
    </xf>
    <xf numFmtId="0" fontId="3" fillId="7" borderId="41" xfId="0" applyFont="1" applyFill="1" applyBorder="1" applyAlignment="1">
      <alignment vertical="center"/>
    </xf>
    <xf numFmtId="165" fontId="3" fillId="7" borderId="4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Planilha1!$G$2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43-41DA-9AA9-995F3B38C9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43-41DA-9AA9-995F3B38C9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43-41DA-9AA9-995F3B38C9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43-41DA-9AA9-995F3B38C9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43-41DA-9AA9-995F3B38C9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B43-41DA-9AA9-995F3B38C9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Planilha1!$F$3:$F$8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Planilha1!$G$3:$G$8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BE3-414F-A285-D6FB711A4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152400</xdr:rowOff>
    </xdr:from>
    <xdr:to>
      <xdr:col>4</xdr:col>
      <xdr:colOff>38100</xdr:colOff>
      <xdr:row>6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01B9AB-EDF4-F5DF-D10A-337BA74A5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1450"/>
        <a:stretch>
          <a:fillRect/>
        </a:stretch>
      </xdr:blipFill>
      <xdr:spPr>
        <a:xfrm>
          <a:off x="114300" y="342900"/>
          <a:ext cx="6219825" cy="1276350"/>
        </a:xfrm>
        <a:prstGeom prst="rect">
          <a:avLst/>
        </a:prstGeom>
      </xdr:spPr>
    </xdr:pic>
    <xdr:clientData/>
  </xdr:twoCellAnchor>
  <xdr:twoCellAnchor>
    <xdr:from>
      <xdr:col>9</xdr:col>
      <xdr:colOff>133350</xdr:colOff>
      <xdr:row>0</xdr:row>
      <xdr:rowOff>180975</xdr:rowOff>
    </xdr:from>
    <xdr:to>
      <xdr:col>16384</xdr:col>
      <xdr:colOff>200025</xdr:colOff>
      <xdr:row>19</xdr:row>
      <xdr:rowOff>228600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065E93-4A35-93AD-10EB-D6E6AD4931F3}"/>
            </a:ext>
            <a:ext uri="{147F2762-F138-4A5C-976F-8EAC2B608ADB}">
              <a16:predDERef xmlns:a16="http://schemas.microsoft.com/office/drawing/2014/main" pred="{6C01B9AB-EDF4-F5DF-D10A-337BA74A5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6"/>
  <sheetViews>
    <sheetView showGridLines="0" tabSelected="1" workbookViewId="0">
      <selection activeCell="D13" sqref="D13"/>
    </sheetView>
  </sheetViews>
  <sheetFormatPr defaultColWidth="0" defaultRowHeight="15"/>
  <cols>
    <col min="1" max="1" width="1.7109375" style="1" customWidth="1"/>
    <col min="2" max="2" width="39.5703125" style="1" bestFit="1" customWidth="1"/>
    <col min="3" max="3" width="22.5703125" style="1" bestFit="1" customWidth="1"/>
    <col min="4" max="4" width="30.5703125" style="1" customWidth="1"/>
    <col min="5" max="5" width="1.7109375" style="1" customWidth="1"/>
    <col min="6" max="6" width="22.7109375" bestFit="1" customWidth="1"/>
    <col min="7" max="7" width="40.42578125" bestFit="1" customWidth="1"/>
    <col min="8" max="8" width="17.5703125" customWidth="1"/>
    <col min="9" max="9" width="1.7109375" customWidth="1"/>
    <col min="10" max="12" width="17.5703125" customWidth="1"/>
    <col min="13" max="13" width="1.7109375" customWidth="1"/>
  </cols>
  <sheetData>
    <row r="2" spans="2:8" ht="26.25">
      <c r="F2" s="51" t="s">
        <v>0</v>
      </c>
      <c r="G2" s="52" t="s">
        <v>1</v>
      </c>
      <c r="H2" s="53" t="s">
        <v>2</v>
      </c>
    </row>
    <row r="3" spans="2:8" ht="18.75">
      <c r="F3" s="54" t="s">
        <v>3</v>
      </c>
      <c r="G3" s="31">
        <f>VLOOKUP($D$13&amp;"-"&amp;F3,Planilha2!$A$2:$D$20,4,FALSE)</f>
        <v>0.3</v>
      </c>
      <c r="H3" s="55" cm="1">
        <f t="array" ref="H3">G3*aporte</f>
        <v>750</v>
      </c>
    </row>
    <row r="4" spans="2:8" ht="18.75">
      <c r="F4" s="56" t="s">
        <v>4</v>
      </c>
      <c r="G4" s="32">
        <f>VLOOKUP($D$13&amp;"-"&amp;F4,Planilha2!$A$2:$D$20,4,FALSE)</f>
        <v>0.5</v>
      </c>
      <c r="H4" s="57" cm="1">
        <f t="array" ref="H4">G4*aporte</f>
        <v>1250</v>
      </c>
    </row>
    <row r="5" spans="2:8" ht="18.75">
      <c r="F5" s="56" t="s">
        <v>5</v>
      </c>
      <c r="G5" s="32">
        <f>VLOOKUP($D$13&amp;"-"&amp;F5,Planilha2!$A$2:$D$20,4,FALSE)</f>
        <v>0.1</v>
      </c>
      <c r="H5" s="57" cm="1">
        <f t="array" ref="H5">G5*aporte</f>
        <v>250</v>
      </c>
    </row>
    <row r="6" spans="2:8" ht="18.75">
      <c r="F6" s="56" t="s">
        <v>6</v>
      </c>
      <c r="G6" s="32">
        <f>VLOOKUP($D$13&amp;"-"&amp;F6,Planilha2!$A$2:$D$20,4,FALSE)</f>
        <v>0.1</v>
      </c>
      <c r="H6" s="57" cm="1">
        <f t="array" ref="H6">G6*aporte</f>
        <v>250</v>
      </c>
    </row>
    <row r="7" spans="2:8" ht="18.75">
      <c r="F7" s="56" t="s">
        <v>7</v>
      </c>
      <c r="G7" s="32">
        <f>VLOOKUP($D$13&amp;"-"&amp;F7,Planilha2!$A$2:$D$20,4,FALSE)</f>
        <v>0</v>
      </c>
      <c r="H7" s="57" cm="1">
        <f t="array" ref="H7">G7*aporte</f>
        <v>0</v>
      </c>
    </row>
    <row r="8" spans="2:8" ht="18.75">
      <c r="F8" s="58" t="s">
        <v>8</v>
      </c>
      <c r="G8" s="33">
        <f>VLOOKUP($D$13&amp;"-"&amp;F8,Planilha2!$A$2:$D$20,4,FALSE)</f>
        <v>0</v>
      </c>
      <c r="H8" s="59" cm="1">
        <f t="array" ref="H8">G8*aporte</f>
        <v>0</v>
      </c>
    </row>
    <row r="9" spans="2:8" ht="26.25">
      <c r="B9" s="38" t="s">
        <v>9</v>
      </c>
      <c r="C9" s="39"/>
      <c r="D9" s="40"/>
      <c r="F9" s="60" t="s">
        <v>10</v>
      </c>
      <c r="G9" s="61"/>
      <c r="H9" s="62">
        <f>SUM(H3:H8)</f>
        <v>2500</v>
      </c>
    </row>
    <row r="10" spans="2:8" ht="18.75">
      <c r="B10" s="41" t="s">
        <v>11</v>
      </c>
      <c r="C10" s="42"/>
      <c r="D10" s="18">
        <v>3900</v>
      </c>
    </row>
    <row r="11" spans="2:8" ht="18.75">
      <c r="B11" s="43" t="s">
        <v>12</v>
      </c>
      <c r="C11" s="44"/>
      <c r="D11" s="27">
        <v>8.8999999999999999E-3</v>
      </c>
    </row>
    <row r="12" spans="2:8" ht="18.75">
      <c r="B12" s="34" t="s">
        <v>13</v>
      </c>
      <c r="C12" s="35"/>
      <c r="D12" s="28">
        <f>D10*30%</f>
        <v>1170</v>
      </c>
    </row>
    <row r="13" spans="2:8" ht="18.75">
      <c r="B13" s="36" t="s">
        <v>14</v>
      </c>
      <c r="C13" s="37"/>
      <c r="D13" s="29" t="s">
        <v>15</v>
      </c>
      <c r="E13"/>
    </row>
    <row r="15" spans="2:8" ht="26.25">
      <c r="B15" s="2" t="s">
        <v>16</v>
      </c>
      <c r="C15" s="30"/>
      <c r="D15" s="3"/>
      <c r="F15" s="2" t="s">
        <v>17</v>
      </c>
      <c r="G15" s="30"/>
      <c r="H15" s="4" t="s">
        <v>18</v>
      </c>
    </row>
    <row r="16" spans="2:8" ht="18.75">
      <c r="B16" s="45" t="s">
        <v>19</v>
      </c>
      <c r="C16" s="46"/>
      <c r="D16" s="15">
        <v>2500</v>
      </c>
      <c r="F16" s="7" t="s">
        <v>20</v>
      </c>
      <c r="G16" s="8" cm="1">
        <f t="array" ref="G16">FV(rendimento_carteira,$A28*12,aporte*-1)</f>
        <v>66561.216028619834</v>
      </c>
      <c r="H16" s="9" cm="1">
        <f t="array" ref="H16">G16*rendimento_carteira</f>
        <v>592.39482265471656</v>
      </c>
    </row>
    <row r="17" spans="1:8" ht="18.75">
      <c r="B17" s="45" t="s">
        <v>21</v>
      </c>
      <c r="C17" s="46"/>
      <c r="D17" s="16">
        <v>5</v>
      </c>
      <c r="F17" s="7" t="s">
        <v>22</v>
      </c>
      <c r="G17" s="8" cm="1">
        <f t="array" ref="G17">FV(rendimento_carteira,$A29*12,aporte*-1)</f>
        <v>197111.49992110452</v>
      </c>
      <c r="H17" s="9" cm="1">
        <f t="array" ref="H17">G17*rendimento_carteira</f>
        <v>1754.2923492978302</v>
      </c>
    </row>
    <row r="18" spans="1:8" ht="18.75">
      <c r="B18" s="45" t="s">
        <v>23</v>
      </c>
      <c r="C18" s="46"/>
      <c r="D18" s="17">
        <v>1.0789999999999999E-2</v>
      </c>
      <c r="F18" s="7" t="s">
        <v>24</v>
      </c>
      <c r="G18" s="8" cm="1">
        <f t="array" ref="G18">FV(rendimento_carteira,$A30*12,aporte*-1)</f>
        <v>532539.47835029464</v>
      </c>
      <c r="H18" s="9" cm="1">
        <f t="array" ref="H18">G18*rendimento_carteira</f>
        <v>4739.6013573176224</v>
      </c>
    </row>
    <row r="19" spans="1:8" ht="18.75">
      <c r="B19" s="47" t="s">
        <v>25</v>
      </c>
      <c r="C19" s="48"/>
      <c r="D19" s="5" cm="1">
        <f t="array" ref="D19">FV(D18,periodo_investimento*12,aporte*-1)</f>
        <v>209442.2849962191</v>
      </c>
      <c r="F19" s="7" t="s">
        <v>26</v>
      </c>
      <c r="G19" s="8" cm="1">
        <f t="array" ref="G19">FV(rendimento_carteira,$A31*12,aporte*-1)</f>
        <v>2074688.8904662991</v>
      </c>
      <c r="H19" s="9" cm="1">
        <f t="array" ref="H19">G19*rendimento_carteira</f>
        <v>18464.731125150061</v>
      </c>
    </row>
    <row r="20" spans="1:8" ht="18.75">
      <c r="A20" s="13"/>
      <c r="B20" s="49" t="s">
        <v>27</v>
      </c>
      <c r="C20" s="50"/>
      <c r="D20" s="6" cm="1">
        <f t="array" ref="D20">patrimonio*rendimento_carteira</f>
        <v>1864.0363364663499</v>
      </c>
      <c r="F20" s="10" t="s">
        <v>28</v>
      </c>
      <c r="G20" s="11" cm="1">
        <f t="array" ref="G20">FV(rendimento_carteira,$A32*12,aporte*-1)</f>
        <v>6540507.6813229369</v>
      </c>
      <c r="H20" s="12" cm="1">
        <f t="array" ref="H20">G20*rendimento_carteira</f>
        <v>58210.518363774136</v>
      </c>
    </row>
    <row r="21" spans="1:8">
      <c r="A21" s="13"/>
    </row>
    <row r="22" spans="1:8">
      <c r="A22" s="13"/>
    </row>
    <row r="23" spans="1:8">
      <c r="A23" s="13"/>
    </row>
    <row r="24" spans="1:8">
      <c r="A24" s="13"/>
    </row>
    <row r="25" spans="1:8">
      <c r="A25" s="13"/>
    </row>
    <row r="28" spans="1:8">
      <c r="A28" s="14">
        <v>2</v>
      </c>
    </row>
    <row r="29" spans="1:8">
      <c r="A29" s="14">
        <v>5</v>
      </c>
    </row>
    <row r="30" spans="1:8">
      <c r="A30" s="14">
        <v>10</v>
      </c>
    </row>
    <row r="31" spans="1:8">
      <c r="A31" s="14">
        <v>20</v>
      </c>
    </row>
    <row r="32" spans="1:8">
      <c r="A32" s="14">
        <v>30</v>
      </c>
    </row>
    <row r="36" spans="2:4">
      <c r="B36"/>
      <c r="C36"/>
      <c r="D36"/>
    </row>
  </sheetData>
  <mergeCells count="10">
    <mergeCell ref="B16:C16"/>
    <mergeCell ref="B17:C17"/>
    <mergeCell ref="B18:C18"/>
    <mergeCell ref="B19:C19"/>
    <mergeCell ref="B20:C20"/>
    <mergeCell ref="B12:C12"/>
    <mergeCell ref="B13:C13"/>
    <mergeCell ref="B9:D9"/>
    <mergeCell ref="B10:C10"/>
    <mergeCell ref="B11:C11"/>
  </mergeCells>
  <dataValidations count="1">
    <dataValidation type="list" allowBlank="1" showInputMessage="1" showErrorMessage="1" sqref="D13" xr:uid="{A34E355B-C2AF-48BA-A9AD-1B0AC111C288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B9E5-2C57-478B-962D-9103AC70D0E3}">
  <dimension ref="A2:D20"/>
  <sheetViews>
    <sheetView workbookViewId="0">
      <selection activeCell="A3" sqref="A3"/>
    </sheetView>
  </sheetViews>
  <sheetFormatPr defaultRowHeight="15"/>
  <cols>
    <col min="1" max="1" width="32.85546875" bestFit="1" customWidth="1"/>
    <col min="2" max="2" width="14.7109375" bestFit="1" customWidth="1"/>
    <col min="3" max="3" width="18.42578125" bestFit="1" customWidth="1"/>
  </cols>
  <sheetData>
    <row r="2" spans="1:4">
      <c r="A2" s="26" t="s">
        <v>29</v>
      </c>
      <c r="B2" s="26" t="s">
        <v>30</v>
      </c>
      <c r="C2" s="26" t="s">
        <v>0</v>
      </c>
      <c r="D2" s="26" t="s">
        <v>31</v>
      </c>
    </row>
    <row r="3" spans="1:4">
      <c r="A3" t="str">
        <f>B3&amp;"-"&amp;C3</f>
        <v>CONSERVADOR-PAPEL</v>
      </c>
      <c r="B3" s="20" t="s">
        <v>15</v>
      </c>
      <c r="C3" s="19" t="s">
        <v>3</v>
      </c>
      <c r="D3" s="24">
        <v>0.3</v>
      </c>
    </row>
    <row r="4" spans="1:4">
      <c r="A4" t="str">
        <f t="shared" ref="A4:A20" si="0">B4&amp;"-"&amp;C4</f>
        <v>CONSERVADOR-TIJOLO</v>
      </c>
      <c r="B4" s="20" t="s">
        <v>15</v>
      </c>
      <c r="C4" s="19" t="s">
        <v>4</v>
      </c>
      <c r="D4" s="24">
        <v>0.5</v>
      </c>
    </row>
    <row r="5" spans="1:4">
      <c r="A5" t="str">
        <f t="shared" si="0"/>
        <v>CONSERVADOR-HÍBRIDOS</v>
      </c>
      <c r="B5" s="20" t="s">
        <v>15</v>
      </c>
      <c r="C5" s="19" t="s">
        <v>5</v>
      </c>
      <c r="D5" s="24">
        <v>0.1</v>
      </c>
    </row>
    <row r="6" spans="1:4">
      <c r="A6" t="str">
        <f t="shared" si="0"/>
        <v>CONSERVADOR-FOFs</v>
      </c>
      <c r="B6" s="20" t="s">
        <v>15</v>
      </c>
      <c r="C6" s="19" t="s">
        <v>6</v>
      </c>
      <c r="D6" s="24">
        <v>0.1</v>
      </c>
    </row>
    <row r="7" spans="1:4">
      <c r="A7" t="str">
        <f t="shared" si="0"/>
        <v>CONSERVADOR-DESENVOLVIMENTO</v>
      </c>
      <c r="B7" s="20" t="s">
        <v>15</v>
      </c>
      <c r="C7" s="19" t="s">
        <v>7</v>
      </c>
      <c r="D7" s="24">
        <v>0</v>
      </c>
    </row>
    <row r="8" spans="1:4">
      <c r="A8" s="21" t="str">
        <f t="shared" si="0"/>
        <v>CONSERVADOR-HOTELARIAS</v>
      </c>
      <c r="B8" s="22" t="s">
        <v>15</v>
      </c>
      <c r="C8" s="23" t="s">
        <v>8</v>
      </c>
      <c r="D8" s="25">
        <v>0</v>
      </c>
    </row>
    <row r="9" spans="1:4">
      <c r="A9" t="str">
        <f t="shared" si="0"/>
        <v>MODERADO-PAPEL</v>
      </c>
      <c r="B9" s="20" t="s">
        <v>32</v>
      </c>
      <c r="C9" s="19" t="s">
        <v>3</v>
      </c>
      <c r="D9" s="24">
        <v>0.35</v>
      </c>
    </row>
    <row r="10" spans="1:4">
      <c r="A10" t="str">
        <f t="shared" si="0"/>
        <v>MODERADO-TIJOLO</v>
      </c>
      <c r="B10" s="20" t="s">
        <v>32</v>
      </c>
      <c r="C10" s="19" t="s">
        <v>4</v>
      </c>
      <c r="D10" s="24">
        <v>0.35</v>
      </c>
    </row>
    <row r="11" spans="1:4">
      <c r="A11" t="str">
        <f t="shared" si="0"/>
        <v>MODERADO-HÍBRIDOS</v>
      </c>
      <c r="B11" s="20" t="s">
        <v>32</v>
      </c>
      <c r="C11" s="19" t="s">
        <v>5</v>
      </c>
      <c r="D11" s="24">
        <v>0.1</v>
      </c>
    </row>
    <row r="12" spans="1:4">
      <c r="A12" t="str">
        <f t="shared" si="0"/>
        <v>MODERADO-FOFs</v>
      </c>
      <c r="B12" s="20" t="s">
        <v>32</v>
      </c>
      <c r="C12" s="19" t="s">
        <v>6</v>
      </c>
      <c r="D12" s="24">
        <v>0.1</v>
      </c>
    </row>
    <row r="13" spans="1:4">
      <c r="A13" t="str">
        <f t="shared" si="0"/>
        <v>MODERADO-DESENVOLVIMENTO</v>
      </c>
      <c r="B13" s="20" t="s">
        <v>32</v>
      </c>
      <c r="C13" s="19" t="s">
        <v>7</v>
      </c>
      <c r="D13" s="24">
        <v>0.05</v>
      </c>
    </row>
    <row r="14" spans="1:4">
      <c r="A14" s="21" t="str">
        <f t="shared" si="0"/>
        <v>MODERADO-HOTELARIAS</v>
      </c>
      <c r="B14" s="22" t="s">
        <v>32</v>
      </c>
      <c r="C14" s="23" t="s">
        <v>8</v>
      </c>
      <c r="D14" s="25">
        <v>0.05</v>
      </c>
    </row>
    <row r="15" spans="1:4">
      <c r="A15" t="str">
        <f t="shared" si="0"/>
        <v>AGRESSIVO-PAPEL</v>
      </c>
      <c r="B15" s="20" t="s">
        <v>33</v>
      </c>
      <c r="C15" s="19" t="s">
        <v>3</v>
      </c>
      <c r="D15" s="24">
        <v>0.5</v>
      </c>
    </row>
    <row r="16" spans="1:4">
      <c r="A16" t="str">
        <f t="shared" si="0"/>
        <v>AGRESSIVO-TIJOLO</v>
      </c>
      <c r="B16" s="20" t="s">
        <v>33</v>
      </c>
      <c r="C16" s="19" t="s">
        <v>4</v>
      </c>
      <c r="D16" s="24">
        <v>0.1</v>
      </c>
    </row>
    <row r="17" spans="1:4">
      <c r="A17" t="str">
        <f t="shared" si="0"/>
        <v>AGRESSIVO-HÍBRIDOS</v>
      </c>
      <c r="B17" s="20" t="s">
        <v>33</v>
      </c>
      <c r="C17" s="19" t="s">
        <v>5</v>
      </c>
      <c r="D17" s="24">
        <v>0.05</v>
      </c>
    </row>
    <row r="18" spans="1:4">
      <c r="A18" t="str">
        <f t="shared" si="0"/>
        <v>AGRESSIVO-FOFs</v>
      </c>
      <c r="B18" s="20" t="s">
        <v>33</v>
      </c>
      <c r="C18" s="19" t="s">
        <v>6</v>
      </c>
      <c r="D18" s="24">
        <v>0.05</v>
      </c>
    </row>
    <row r="19" spans="1:4">
      <c r="A19" t="str">
        <f t="shared" si="0"/>
        <v>AGRESSIVO-DESENVOLVIMENTO</v>
      </c>
      <c r="B19" s="20" t="s">
        <v>33</v>
      </c>
      <c r="C19" s="19" t="s">
        <v>7</v>
      </c>
      <c r="D19" s="24">
        <v>0.2</v>
      </c>
    </row>
    <row r="20" spans="1:4">
      <c r="A20" s="21" t="str">
        <f t="shared" si="0"/>
        <v>AGRESSIVO-HOTELARIAS</v>
      </c>
      <c r="B20" s="22" t="s">
        <v>33</v>
      </c>
      <c r="C20" s="23" t="s">
        <v>8</v>
      </c>
      <c r="D20" s="2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2026-01-26T22:53:12Z</dcterms:created>
  <dcterms:modified xsi:type="dcterms:W3CDTF">2026-02-02T18:18:54Z</dcterms:modified>
  <cp:category/>
  <cp:contentStatus/>
</cp:coreProperties>
</file>